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2"/>
  </bookViews>
  <sheets>
    <sheet name="Login" sheetId="1" state="visible" r:id="rId2"/>
    <sheet name="IngresoServicio" sheetId="2" state="visible" r:id="rId3"/>
    <sheet name="SQL" sheetId="3" state="visible" r:id="rId4"/>
    <sheet name="Hoja3" sheetId="4" state="visible" r:id="rId5"/>
  </sheets>
  <definedNames>
    <definedName function="false" hidden="false" localSheetId="0" name="_xlnm.Print_Area" vbProcedure="false">#ref!</definedName>
    <definedName function="false" hidden="false" localSheetId="0" name="_xlnm.Sheet_Title" vbProcedure="false">"Login"</definedName>
    <definedName function="false" hidden="false" localSheetId="1" name="_xlnm.Print_Area" vbProcedure="false">#ref!</definedName>
    <definedName function="false" hidden="false" localSheetId="1" name="_xlnm.Sheet_Title" vbProcedure="false">"IngresoServicio"</definedName>
    <definedName function="false" hidden="false" localSheetId="2" name="_xlnm.Print_Area" vbProcedure="false">#ref!</definedName>
    <definedName function="false" hidden="false" localSheetId="2" name="_xlnm.Sheet_Title" vbProcedure="false">"Hoja2"</definedName>
    <definedName function="false" hidden="false" localSheetId="3" name="_xlnm.Print_Area" vbProcedure="false">#ref!</definedName>
    <definedName function="false" hidden="false" localSheetId="3" name="_xlnm.Sheet_Title" vbProcedure="false">"Hoja3"</definedName>
  </definedNames>
  <calcPr iterateCount="100" refMode="A1" iterate="true" iterateDelta="0.0001"/>
</workbook>
</file>

<file path=xl/sharedStrings.xml><?xml version="1.0" encoding="utf-8"?>
<sst xmlns="http://schemas.openxmlformats.org/spreadsheetml/2006/main" count="230" uniqueCount="180">
  <si>
    <t>USAPOSTAL 2 55 55 55</t>
  </si>
  <si>
    <t>FECHA HORA</t>
  </si>
  <si>
    <t>CODIGO:</t>
  </si>
  <si>
    <t>nombre del codigo</t>
  </si>
  <si>
    <t>CONTRASEÑA:</t>
  </si>
  <si>
    <t>*******</t>
  </si>
  <si>
    <t>NOTA: Colocar en el perfil, si puede utilizar la interface 1, 2, 3, 4(todas)</t>
  </si>
  <si>
    <t>USAPOTAL 2 55 55 55</t>
  </si>
  <si>
    <t>numero de servicio</t>
  </si>
  <si>
    <t>NIT ASESOR:</t>
  </si>
  <si>
    <t>NOMBRE:</t>
  </si>
  <si>
    <t>wilmer p. silva</t>
  </si>
  <si>
    <t>idasesor</t>
  </si>
  <si>
    <t>numero</t>
  </si>
  <si>
    <t>identificación del asesor en tabla empleados</t>
  </si>
  <si>
    <t>fecha</t>
  </si>
  <si>
    <t>date</t>
  </si>
  <si>
    <t>fecha de inicio del servicio</t>
  </si>
  <si>
    <t>FECHA:</t>
  </si>
  <si>
    <t>fecha-del-sistema-con-hora</t>
  </si>
  <si>
    <t>idcliente</t>
  </si>
  <si>
    <t>identificación del cliente en tabla clientes</t>
  </si>
  <si>
    <t>direccionorigen</t>
  </si>
  <si>
    <t>texto</t>
  </si>
  <si>
    <t>dirección donde se inicia el servicio</t>
  </si>
  <si>
    <t>nombre-empresa</t>
  </si>
  <si>
    <t>telefonoorigen</t>
  </si>
  <si>
    <t>telefono donde se inicia el servicio</t>
  </si>
  <si>
    <t>DATOS ORIGEN</t>
  </si>
  <si>
    <t>DATOS DESTINO</t>
  </si>
  <si>
    <t>DIRECCION:</t>
  </si>
  <si>
    <t>direccion1</t>
  </si>
  <si>
    <t>direccion2</t>
  </si>
  <si>
    <t>TELEFONO:</t>
  </si>
  <si>
    <t>telefono1</t>
  </si>
  <si>
    <t>telefono2</t>
  </si>
  <si>
    <t>CIUDAD1:</t>
  </si>
  <si>
    <t>bogota</t>
  </si>
  <si>
    <t>CIUDAD2:</t>
  </si>
  <si>
    <t>medellin</t>
  </si>
  <si>
    <t>VEHICULO</t>
  </si>
  <si>
    <t>PLACA:</t>
  </si>
  <si>
    <t>consulta x placa, verificar si existe el vehiculo, sino dejarlo pasar y crearla en la tabla de vehiculos</t>
  </si>
  <si>
    <t>GUIA:</t>
  </si>
  <si>
    <t>Con placa traer lista de propietarios y conductores</t>
  </si>
  <si>
    <t>PLANILLA:</t>
  </si>
  <si>
    <t>los campos guia,planilla o numero de ese documento, no es obligatorio y se puede incorporar despues</t>
  </si>
  <si>
    <t>PROPIETARIO</t>
  </si>
  <si>
    <t>CEDULA:</t>
  </si>
  <si>
    <t>nombre-propietario</t>
  </si>
  <si>
    <t>consultar x nombre de propietario ordenado alfabeticamente, o poder digitar una cedula y si no existe, dejar digitar la cedula y el nombre e incorporarla inmediatamente a la tabla.</t>
  </si>
  <si>
    <t>CONDUCTOR</t>
  </si>
  <si>
    <t>nombre-conductor</t>
  </si>
  <si>
    <t>consultar x nombre de conductor ordenado alfabeticamente, o poder digitar una cedula y si no existe, dejar digitar la cedula y el nombre e incorporarla inmediatamente a la tabla.</t>
  </si>
  <si>
    <t>VALOR TOTAL</t>
  </si>
  <si>
    <t>VALOR1:</t>
  </si>
  <si>
    <t>DETALLE1:</t>
  </si>
  <si>
    <t>Ricaurte a Galerias, montacarga, 1 auxiliar</t>
  </si>
  <si>
    <t>VALOR2:</t>
  </si>
  <si>
    <t>DETALLE2:</t>
  </si>
  <si>
    <t>Montacarga, 1 auxiliar, usaportal a MEDELLIN</t>
  </si>
  <si>
    <t>VALOR3:</t>
  </si>
  <si>
    <t>DETALLE3:</t>
  </si>
  <si>
    <t>montacarga, 1 auxiliar, Medellin a empresa VESTIDOS DE LA CALLE</t>
  </si>
  <si>
    <t>VALOR4:</t>
  </si>
  <si>
    <t>DETALLE4:</t>
  </si>
  <si>
    <t>VALOR5:</t>
  </si>
  <si>
    <t>DETALLE5:</t>
  </si>
  <si>
    <t>VALOR6:</t>
  </si>
  <si>
    <t>DETALLE6:</t>
  </si>
  <si>
    <t>ANTICIPOS Y CUENTA DE COBRO</t>
  </si>
  <si>
    <t>ANTICIPO1:</t>
  </si>
  <si>
    <t>num-antici</t>
  </si>
  <si>
    <t>CEDULA1:</t>
  </si>
  <si>
    <t>DETALLE1</t>
  </si>
  <si>
    <t>tanquear</t>
  </si>
  <si>
    <t>ANTICIPO2:</t>
  </si>
  <si>
    <t>CEDULA2:</t>
  </si>
  <si>
    <t>DETALLE2</t>
  </si>
  <si>
    <t>almuerzo</t>
  </si>
  <si>
    <t>ANTICIPO3:</t>
  </si>
  <si>
    <t>CEDULA3:</t>
  </si>
  <si>
    <t>DETALLE3</t>
  </si>
  <si>
    <t>peajes</t>
  </si>
  <si>
    <t>ANTICIPO4:</t>
  </si>
  <si>
    <t>CEDULA4:</t>
  </si>
  <si>
    <t>DETALLE4</t>
  </si>
  <si>
    <t>N. C. COBRO:</t>
  </si>
  <si>
    <t>DETALLE</t>
  </si>
  <si>
    <t>Tabla servicios</t>
  </si>
  <si>
    <t>Tabla valores</t>
  </si>
  <si>
    <t>idservicio</t>
  </si>
  <si>
    <t>autoincrementable</t>
  </si>
  <si>
    <t>idvalor</t>
  </si>
  <si>
    <t>idempleado</t>
  </si>
  <si>
    <t>identificación del empleado en tabla empleados</t>
  </si>
  <si>
    <t>identificador del servicio</t>
  </si>
  <si>
    <t>valor</t>
  </si>
  <si>
    <t>valor parcial del total del servicio, tiene relación con valortotal en tabla servicios</t>
  </si>
  <si>
    <t>detalle</t>
  </si>
  <si>
    <t>donde se explica el por que del valor anterior</t>
  </si>
  <si>
    <t>placa</t>
  </si>
  <si>
    <t>texto(6)</t>
  </si>
  <si>
    <t>placa del vehiculo que presta el servicio</t>
  </si>
  <si>
    <t>guia</t>
  </si>
  <si>
    <t>puede ser el número de guia puede ser nulo</t>
  </si>
  <si>
    <t>planilla</t>
  </si>
  <si>
    <t>puede ser el número de planilla puede ser nulo</t>
  </si>
  <si>
    <t>idciudadorigen</t>
  </si>
  <si>
    <t>identificación de la ciudad en tabla municipios</t>
  </si>
  <si>
    <t>direcciondestino</t>
  </si>
  <si>
    <t>dirección donde se termina el servicio</t>
  </si>
  <si>
    <t>telefonodestino</t>
  </si>
  <si>
    <t>telefono donde se termina el servicio</t>
  </si>
  <si>
    <t>idciudaddestino</t>
  </si>
  <si>
    <t>cedulapropietario</t>
  </si>
  <si>
    <t>numero de cédula del propietario</t>
  </si>
  <si>
    <t>cedulacondcutor</t>
  </si>
  <si>
    <t>numero de cédula del conductor</t>
  </si>
  <si>
    <t>valortotal</t>
  </si>
  <si>
    <t>valor total del servicio</t>
  </si>
  <si>
    <t>Sentencias SQL</t>
  </si>
  <si>
    <t>Para tabla servicios</t>
  </si>
  <si>
    <t>CREATE TABLE `usapostal_2`.`servicios` ( `idservicio` INT NOT NULL AUTO_INCREMENT COMMENT 'numero de servicio' , 
`idempleado` INT NOT NULL COMMENT 'identificación del empleado en tabla empleados' , 
`fecha` DATETIME NOT NULL COMMENT 'fecha de inicio del servicio' , 
`idcliente` VARCHAR(30) NOT NULL COMMENT 'identificación del cliente en tabla clientes' , 
`placa` TEXT NOT NULL COMMENT 'placa del vehiculo que presta el servicio' , 
`guia` INT(12) NOT NULL COMMENT 'puede ser el número de guia puede ser nulo' , 
`planilla` INT(12) NOT NULL COMMENT 'puede ser el número de planilla puede ser nulo' , 
`auxiliar` VARCHAR(50) NOT NULL COMMENT 'tiene relacion con el número de guía o con el número de planilla' , 
`direccionorigen` TEXT NOT NULL COMMENT 'dirección donde se inicia el servicio' , 
`telefonoorigen` INT NOT NULL COMMENT 'telefono donde se inicia el servicio' , 
`idciudadorigen` INT NOT NULL COMMENT 'identificación de la ciudad en tabla municipios' , 
`direcciondestino` TEXT NOT NULL COMMENT 'dirección donde se termina el servicio' , 
`telefonodestino` INT NOT NULL COMMENT 'telefono donde se termina el servicio' , 
`idciudaddestino` INT NOT NULL COMMENT 'identificación de la ciudad en tabla municipios' , 
`cedulapropietario` INT NOT NULL COMMENT 'numero de cédula del propietario' , 
`cedulaconductor` INT NOT NULL COMMENT 'numero de cédula del conductor' , 
`valortotal` INT NOT NULL COMMENT 'valor total del servicio' , 
`valorapagar` INT NOT NULL COMMENT 'valor a pagar por el servicio' ,
PRIMARY KEY (`idservicio`)) ENGINE = InnoDB;</t>
  </si>
  <si>
    <t>Para tabla valores</t>
  </si>
  <si>
    <t>CREATE TABLE `usapostal_2`.`valores` ( `idvalor` INT NOT NULL AUTO_INCREMENT COMMENT 'autoincrementable' , `idservicio` INT NOT NULL COMMENT 'identificador del servicio' , `valor` INT NOT NULL COMMENT 'valor parcial del total del servicio, tiene relación con valortotal en tabla servicios' , `detalle` VARCHAR(50) NOT NULL COMMENT 'donde se explica el por que del valor anterior' , PRIMARY KEY (`idvalor`)) ENGINE = InnoDB;</t>
  </si>
  <si>
    <t>Para crear botón</t>
  </si>
  <si>
    <t>INSERT INTO `botones` (`id_boton`, `valor`, `id`, `icono`) VALUES (NULL, 'SERVICIOS', 'btn_crearServicio', '../imagenes/camion_16.png');</t>
  </si>
  <si>
    <t>Relacionar rol empleado con nuevo botón creado</t>
  </si>
  <si>
    <t>INSERT INTO `rol_boton` (`id_rol_boton`, `id_rol`, `id_boton`) VALUES (NULL, '2', '14'), (NULL, '4', '14'), (NULL, '6', '14'), (NULL, '7', '14'), (NULL, '8', '14'), (NULL, '3', '14'), (NULL, '1', '14');</t>
  </si>
  <si>
    <t>CREATE TABLE `trasabilidad` (</t>
  </si>
  <si>
    <t>  `idservicio` int(11) NOT NULL COMMENT 'Numero de servicio creado en la tabla servicios',</t>
  </si>
  <si>
    <t>  `fecha` datetime NOT NULL COMMENT 'Fecha de creacion del evento en esta tabla',</t>
  </si>
  <si>
    <t>  `referencia` varchar(50) NOT NULL COMMENT 'Es uno de los tres valores siguientes: numero de guia, numero de planilla u otro',</t>
  </si>
  <si>
    <t>  `evento` varchar(30) NOT NULL COMMENT 'Pueden ser cinco: creacion, anticipo, pago conductor, factura. Pendiente caja'</t>
  </si>
  <si>
    <t>) ENGINE=InnoDB DEFAULT CHARSET=latin1;</t>
  </si>
  <si>
    <t>Crear tabla serviciosborrados</t>
  </si>
  <si>
    <t>create table serviciosborrados(</t>
  </si>
  <si>
    <t>idservicio int not null,</t>
  </si>
  <si>
    <t>idempleado int not null,</t>
  </si>
  <si>
    <t>fecha datetime not null,</t>
  </si>
  <si>
    <t>idcliente varchar(30) not null,</t>
  </si>
  <si>
    <t>placa text not null,</t>
  </si>
  <si>
    <t>guia int(12) not null,</t>
  </si>
  <si>
    <t>planilla int(12) not null,</t>
  </si>
  <si>
    <t>auxiliar varchar(50) not null,</t>
  </si>
  <si>
    <t>direccionorigen text not null,</t>
  </si>
  <si>
    <t>telefonoorigen int(11) not null,</t>
  </si>
  <si>
    <t>idciudadorigen int(11) not null,</t>
  </si>
  <si>
    <t>direcciondestino text not null,</t>
  </si>
  <si>
    <t>telefonodestino int(11) not null,</t>
  </si>
  <si>
    <t>idciudaddestino int(11) not null,</t>
  </si>
  <si>
    <t>cedulapropietario int(11) not null,</t>
  </si>
  <si>
    <t>cedulaconductor int(11) not null,</t>
  </si>
  <si>
    <t>valortotal int(11) not null,</t>
  </si>
  <si>
    <t>valorapagar int(11) not null,</t>
  </si>
  <si>
    <t>fechaborrado datetime not null);</t>
  </si>
  <si>
    <t>TRASABILIDAD</t>
  </si>
  <si>
    <t>referencia</t>
  </si>
  <si>
    <t>evento</t>
  </si>
  <si>
    <t>filtro</t>
  </si>
  <si>
    <t>fecha inicial</t>
  </si>
  <si>
    <t>fecha final</t>
  </si>
  <si>
    <t>todos</t>
  </si>
  <si>
    <t>creacion</t>
  </si>
  <si>
    <t>anticipo</t>
  </si>
  <si>
    <t>M-34568</t>
  </si>
  <si>
    <t>pago conductor</t>
  </si>
  <si>
    <t>pago empresa</t>
  </si>
  <si>
    <t>M-34569</t>
  </si>
  <si>
    <t>FACTURA</t>
  </si>
  <si>
    <t>total 5</t>
  </si>
  <si>
    <t>nombre </t>
  </si>
  <si>
    <t>trasabilidad</t>
  </si>
  <si>
    <t>Número de servicio creado</t>
  </si>
  <si>
    <t>liste sus servicios por numero de cedula</t>
  </si>
  <si>
    <t>Fecha hora de creación del evento en esta tabla</t>
  </si>
  <si>
    <t>luis -&gt; servicios que él creo</t>
  </si>
  <si>
    <t>Numero de planilla,guia u otro</t>
  </si>
  <si>
    <t>Pueden ser cinco (creación,anticipo,pago conductor,factura)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</si>
</sst>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$ &quot;#,##0"/>
    <numFmt numFmtId="166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RowHeight="15"/>
  <cols>
    <col collapsed="false" hidden="false" max="1025" min="1" style="0" width="9.141700404858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15" hidden="false" customHeight="false" outlineLevel="0" collapsed="false">
      <c r="A5" s="1"/>
      <c r="B5" s="1"/>
      <c r="C5" s="1"/>
      <c r="D5" s="1"/>
      <c r="E5" s="1"/>
    </row>
    <row r="6" customFormat="false" ht="15" hidden="false" customHeight="false" outlineLevel="0" collapsed="false">
      <c r="A6" s="1"/>
      <c r="B6" s="1"/>
      <c r="C6" s="1" t="s">
        <v>2</v>
      </c>
      <c r="D6" s="1" t="n">
        <v>999999999</v>
      </c>
      <c r="E6" s="1" t="s">
        <v>3</v>
      </c>
    </row>
    <row r="7" customFormat="false" ht="15" hidden="false" customHeight="false" outlineLevel="0" collapsed="false">
      <c r="A7" s="1"/>
      <c r="B7" s="1"/>
      <c r="C7" s="1"/>
      <c r="D7" s="1"/>
      <c r="E7" s="1"/>
    </row>
    <row r="8" customFormat="false" ht="15" hidden="false" customHeight="false" outlineLevel="0" collapsed="false">
      <c r="A8" s="1"/>
      <c r="B8" s="1"/>
      <c r="C8" s="1" t="s">
        <v>4</v>
      </c>
      <c r="D8" s="1"/>
      <c r="E8" s="1" t="s">
        <v>5</v>
      </c>
    </row>
    <row r="9" customFormat="false" ht="15" hidden="false" customHeight="false" outlineLevel="0" collapsed="false">
      <c r="A9" s="1"/>
      <c r="B9" s="1"/>
      <c r="C9" s="1"/>
      <c r="D9" s="1"/>
      <c r="E9" s="1"/>
    </row>
    <row r="10" customFormat="false" ht="15" hidden="false" customHeight="false" outlineLevel="0" collapsed="false">
      <c r="A10" s="1"/>
      <c r="B10" s="1"/>
      <c r="C10" s="1"/>
      <c r="D10" s="1"/>
      <c r="E10" s="1"/>
    </row>
    <row r="11" customFormat="false" ht="15" hidden="false" customHeight="false" outlineLevel="0" collapsed="false">
      <c r="A11" s="1"/>
      <c r="B11" s="1"/>
      <c r="C11" s="1"/>
      <c r="D11" s="1"/>
      <c r="E11" s="1"/>
    </row>
    <row r="12" customFormat="false" ht="15" hidden="false" customHeight="false" outlineLevel="0" collapsed="false">
      <c r="A12" s="1"/>
      <c r="B12" s="1"/>
      <c r="C12" s="1"/>
      <c r="D12" s="1"/>
      <c r="E12" s="1"/>
    </row>
    <row r="13" customFormat="false" ht="15" hidden="false" customHeight="false" outlineLevel="0" collapsed="false">
      <c r="A13" s="1"/>
      <c r="B13" s="1"/>
      <c r="C13" s="1"/>
      <c r="D13" s="1"/>
      <c r="E13" s="1"/>
    </row>
    <row r="14" customFormat="false" ht="15" hidden="false" customHeight="false" outlineLevel="0" collapsed="false">
      <c r="A14" s="1" t="s">
        <v>6</v>
      </c>
      <c r="B14" s="1"/>
      <c r="C14" s="1"/>
      <c r="D14" s="1"/>
      <c r="E14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1"/>
  <sheetViews>
    <sheetView windowProtection="false"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42" activeCellId="0" sqref="A42"/>
    </sheetView>
  </sheetViews>
  <sheetFormatPr defaultRowHeight="15"/>
  <cols>
    <col collapsed="false" hidden="false" max="1" min="1" style="0" width="24.2793522267206"/>
    <col collapsed="false" hidden="false" max="2" min="2" style="0" width="19.7085020242915"/>
    <col collapsed="false" hidden="false" max="7" min="3" style="0" width="9.1417004048583"/>
    <col collapsed="false" hidden="false" max="8" min="8" style="0" width="14.1417004048583"/>
    <col collapsed="false" hidden="false" max="9" min="9" style="0" width="13.5668016194332"/>
    <col collapsed="false" hidden="false" max="10" min="10" style="0" width="15.7125506072875"/>
    <col collapsed="false" hidden="false" max="1025" min="11" style="0" width="9.1417004048583"/>
  </cols>
  <sheetData>
    <row r="1" customFormat="false" ht="15" hidden="false" customHeight="false" outlineLevel="0" collapsed="false">
      <c r="A1" s="1" t="s">
        <v>7</v>
      </c>
      <c r="B1" s="1"/>
      <c r="C1" s="1" t="s">
        <v>8</v>
      </c>
      <c r="D1" s="1"/>
      <c r="E1" s="1"/>
      <c r="F1" s="1"/>
      <c r="G1" s="1"/>
      <c r="H1" s="1" t="s">
        <v>9</v>
      </c>
      <c r="I1" s="1" t="n">
        <v>9999999999</v>
      </c>
      <c r="J1" s="1" t="s">
        <v>10</v>
      </c>
      <c r="K1" s="1" t="s">
        <v>11</v>
      </c>
      <c r="L1" s="1"/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 t="s">
        <v>20</v>
      </c>
      <c r="B4" s="1" t="s">
        <v>13</v>
      </c>
      <c r="C4" s="1" t="s">
        <v>21</v>
      </c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/>
      <c r="F5" s="1"/>
      <c r="G5" s="1"/>
      <c r="H5" s="1"/>
      <c r="I5" s="1"/>
      <c r="J5" s="1"/>
      <c r="K5" s="1"/>
      <c r="L5" s="1"/>
    </row>
    <row r="6" customFormat="false" ht="15" hidden="false" customHeight="false" outlineLevel="0" collapsed="false">
      <c r="A6" s="1" t="s">
        <v>26</v>
      </c>
      <c r="B6" s="1" t="s">
        <v>13</v>
      </c>
      <c r="C6" s="1" t="s">
        <v>27</v>
      </c>
      <c r="D6" s="1"/>
      <c r="E6" s="1"/>
      <c r="F6" s="1"/>
      <c r="G6" s="1"/>
      <c r="H6" s="1"/>
      <c r="I6" s="1"/>
      <c r="J6" s="1"/>
      <c r="K6" s="1"/>
      <c r="L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5" hidden="false" customHeight="false" outlineLevel="0" collapsed="false">
      <c r="A8" s="1" t="s">
        <v>28</v>
      </c>
      <c r="B8" s="1"/>
      <c r="C8" s="1"/>
      <c r="D8" s="1"/>
      <c r="E8" s="1"/>
      <c r="F8" s="1" t="s">
        <v>29</v>
      </c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 t="s">
        <v>30</v>
      </c>
      <c r="B9" s="1" t="s">
        <v>31</v>
      </c>
      <c r="C9" s="1"/>
      <c r="D9" s="1"/>
      <c r="E9" s="1"/>
      <c r="F9" s="1" t="s">
        <v>30</v>
      </c>
      <c r="G9" s="1" t="s">
        <v>32</v>
      </c>
      <c r="H9" s="1"/>
      <c r="I9" s="1"/>
      <c r="J9" s="1"/>
      <c r="K9" s="1"/>
      <c r="L9" s="1"/>
    </row>
    <row r="10" customFormat="false" ht="15" hidden="false" customHeight="false" outlineLevel="0" collapsed="false">
      <c r="A10" s="1" t="s">
        <v>33</v>
      </c>
      <c r="B10" s="1" t="s">
        <v>34</v>
      </c>
      <c r="C10" s="1"/>
      <c r="D10" s="1"/>
      <c r="E10" s="1"/>
      <c r="F10" s="1" t="s">
        <v>33</v>
      </c>
      <c r="G10" s="1" t="s">
        <v>35</v>
      </c>
      <c r="H10" s="1"/>
      <c r="I10" s="1"/>
      <c r="J10" s="1"/>
      <c r="K10" s="1"/>
      <c r="L10" s="1"/>
    </row>
    <row r="11" customFormat="false" ht="15" hidden="false" customHeight="false" outlineLevel="0" collapsed="false">
      <c r="A11" s="1" t="s">
        <v>36</v>
      </c>
      <c r="B11" s="1" t="s">
        <v>37</v>
      </c>
      <c r="C11" s="1"/>
      <c r="D11" s="1"/>
      <c r="E11" s="1"/>
      <c r="F11" s="1" t="s">
        <v>38</v>
      </c>
      <c r="G11" s="1" t="s">
        <v>39</v>
      </c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 t="s">
        <v>40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 t="s">
        <v>41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 t="s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 t="s">
        <v>43</v>
      </c>
      <c r="B17" s="1" t="n">
        <v>999999999</v>
      </c>
      <c r="C17" s="1"/>
      <c r="D17" s="1"/>
      <c r="E17" s="1"/>
      <c r="F17" s="1"/>
      <c r="G17" s="1"/>
      <c r="H17" s="1"/>
      <c r="I17" s="1"/>
      <c r="J17" s="1"/>
      <c r="K17" s="1"/>
      <c r="L17" s="1" t="s">
        <v>44</v>
      </c>
    </row>
    <row r="18" customFormat="false" ht="15" hidden="false" customHeight="false" outlineLevel="0" collapsed="false">
      <c r="A18" s="1" t="s">
        <v>45</v>
      </c>
      <c r="B18" s="1" t="n">
        <v>999999999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 t="s">
        <v>46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 t="s">
        <v>47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 t="s">
        <v>48</v>
      </c>
      <c r="B22" s="1" t="n">
        <v>999999999</v>
      </c>
      <c r="C22" s="1" t="s">
        <v>49</v>
      </c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 t="s">
        <v>50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 t="s">
        <v>51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 t="s">
        <v>48</v>
      </c>
      <c r="B26" s="1" t="n">
        <v>999999999</v>
      </c>
      <c r="C26" s="1" t="s">
        <v>52</v>
      </c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 t="s">
        <v>53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 t="s">
        <v>54</v>
      </c>
      <c r="B29" s="2" t="n">
        <f aca="false">B30+B32+B34+B36+B38+B40</f>
        <v>1857000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 t="s">
        <v>55</v>
      </c>
      <c r="B30" s="2" t="n">
        <v>12000</v>
      </c>
      <c r="C30" s="1" t="s">
        <v>56</v>
      </c>
      <c r="D30" s="1" t="s">
        <v>57</v>
      </c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 t="s">
        <v>58</v>
      </c>
      <c r="B32" s="2" t="n">
        <v>1800000</v>
      </c>
      <c r="C32" s="1" t="s">
        <v>59</v>
      </c>
      <c r="D32" s="1" t="s">
        <v>60</v>
      </c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 t="s">
        <v>61</v>
      </c>
      <c r="B34" s="2" t="n">
        <v>45000</v>
      </c>
      <c r="C34" s="1" t="s">
        <v>62</v>
      </c>
      <c r="D34" s="1" t="s">
        <v>63</v>
      </c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 t="s">
        <v>64</v>
      </c>
      <c r="B36" s="2" t="n">
        <v>0</v>
      </c>
      <c r="C36" s="1" t="s">
        <v>65</v>
      </c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 t="s">
        <v>66</v>
      </c>
      <c r="B38" s="2" t="n">
        <v>0</v>
      </c>
      <c r="C38" s="1" t="s">
        <v>67</v>
      </c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 t="s">
        <v>68</v>
      </c>
      <c r="B40" s="2" t="n">
        <v>0</v>
      </c>
      <c r="C40" s="1" t="s">
        <v>69</v>
      </c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 t="s">
        <v>70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 t="s">
        <v>71</v>
      </c>
      <c r="B43" s="1" t="s">
        <v>72</v>
      </c>
      <c r="C43" s="1" t="s">
        <v>73</v>
      </c>
      <c r="D43" s="1" t="n">
        <v>99999999</v>
      </c>
      <c r="E43" s="1" t="s">
        <v>52</v>
      </c>
      <c r="F43" s="1"/>
      <c r="G43" s="1" t="s">
        <v>55</v>
      </c>
      <c r="H43" s="2" t="n">
        <v>100000</v>
      </c>
      <c r="I43" s="1"/>
      <c r="J43" s="1" t="s">
        <v>74</v>
      </c>
      <c r="K43" s="1" t="s">
        <v>75</v>
      </c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</row>
    <row r="45" customFormat="false" ht="15" hidden="false" customHeight="false" outlineLevel="0" collapsed="false">
      <c r="A45" s="1" t="s">
        <v>76</v>
      </c>
      <c r="B45" s="1" t="s">
        <v>72</v>
      </c>
      <c r="C45" s="1" t="s">
        <v>77</v>
      </c>
      <c r="D45" s="1" t="n">
        <v>99999999</v>
      </c>
      <c r="E45" s="1" t="s">
        <v>52</v>
      </c>
      <c r="F45" s="1"/>
      <c r="G45" s="1" t="s">
        <v>58</v>
      </c>
      <c r="H45" s="2" t="n">
        <v>200000</v>
      </c>
      <c r="I45" s="1"/>
      <c r="J45" s="1" t="s">
        <v>78</v>
      </c>
      <c r="K45" s="1" t="s">
        <v>79</v>
      </c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</row>
    <row r="47" customFormat="false" ht="15" hidden="false" customHeight="false" outlineLevel="0" collapsed="false">
      <c r="A47" s="1" t="s">
        <v>80</v>
      </c>
      <c r="B47" s="1" t="s">
        <v>72</v>
      </c>
      <c r="C47" s="1" t="s">
        <v>81</v>
      </c>
      <c r="D47" s="1" t="n">
        <v>99999999</v>
      </c>
      <c r="E47" s="1" t="s">
        <v>52</v>
      </c>
      <c r="F47" s="1"/>
      <c r="G47" s="1" t="s">
        <v>61</v>
      </c>
      <c r="H47" s="2" t="n">
        <v>100000</v>
      </c>
      <c r="I47" s="1"/>
      <c r="J47" s="1" t="s">
        <v>82</v>
      </c>
      <c r="K47" s="1" t="s">
        <v>83</v>
      </c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</row>
    <row r="49" customFormat="false" ht="15" hidden="false" customHeight="false" outlineLevel="0" collapsed="false">
      <c r="A49" s="1" t="s">
        <v>84</v>
      </c>
      <c r="B49" s="1" t="s">
        <v>72</v>
      </c>
      <c r="C49" s="1" t="s">
        <v>85</v>
      </c>
      <c r="D49" s="1" t="n">
        <v>99999999</v>
      </c>
      <c r="E49" s="1" t="s">
        <v>52</v>
      </c>
      <c r="F49" s="1"/>
      <c r="G49" s="1" t="s">
        <v>64</v>
      </c>
      <c r="H49" s="2" t="n">
        <v>50000</v>
      </c>
      <c r="I49" s="1"/>
      <c r="J49" s="1" t="s">
        <v>86</v>
      </c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 t="s">
        <v>87</v>
      </c>
      <c r="B51" s="1"/>
      <c r="C51" s="1" t="s">
        <v>48</v>
      </c>
      <c r="D51" s="1"/>
      <c r="E51" s="1"/>
      <c r="F51" s="1" t="s">
        <v>88</v>
      </c>
      <c r="G51" s="1"/>
      <c r="H51" s="1"/>
      <c r="I51" s="1"/>
      <c r="J51" s="1"/>
      <c r="K51" s="1"/>
      <c r="L51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7"/>
  <sheetViews>
    <sheetView windowProtection="false"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38" activeCellId="0" sqref="A38"/>
    </sheetView>
  </sheetViews>
  <sheetFormatPr defaultRowHeight="15"/>
  <cols>
    <col collapsed="false" hidden="false" max="1" min="1" style="0" width="66.5910931174089"/>
    <col collapsed="false" hidden="false" max="2" min="2" style="0" width="18.1376518218623"/>
    <col collapsed="false" hidden="false" max="3" min="3" style="0" width="42.7125506072875"/>
    <col collapsed="false" hidden="false" max="1025" min="4" style="0" width="9.1417004048583"/>
  </cols>
  <sheetData>
    <row r="1" customFormat="false" ht="15" hidden="false" customHeight="false" outlineLevel="0" collapsed="false">
      <c r="A1" s="3" t="s">
        <v>89</v>
      </c>
      <c r="B1" s="3"/>
      <c r="C1" s="3"/>
      <c r="D1" s="1"/>
      <c r="E1" s="3" t="s">
        <v>90</v>
      </c>
      <c r="F1" s="3"/>
      <c r="G1" s="3"/>
    </row>
    <row r="2" customFormat="false" ht="15" hidden="false" customHeight="false" outlineLevel="0" collapsed="false">
      <c r="A2" s="1" t="s">
        <v>91</v>
      </c>
      <c r="B2" s="1" t="s">
        <v>92</v>
      </c>
      <c r="C2" s="1" t="s">
        <v>8</v>
      </c>
      <c r="D2" s="1"/>
      <c r="E2" s="1" t="s">
        <v>93</v>
      </c>
      <c r="F2" s="1" t="s">
        <v>92</v>
      </c>
      <c r="G2" s="1"/>
    </row>
    <row r="3" customFormat="false" ht="15" hidden="false" customHeight="false" outlineLevel="0" collapsed="false">
      <c r="A3" s="1" t="s">
        <v>94</v>
      </c>
      <c r="B3" s="1" t="s">
        <v>13</v>
      </c>
      <c r="C3" s="1" t="s">
        <v>95</v>
      </c>
      <c r="D3" s="1"/>
      <c r="E3" s="1" t="s">
        <v>91</v>
      </c>
      <c r="F3" s="1" t="s">
        <v>96</v>
      </c>
      <c r="G3" s="1"/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D4" s="1"/>
      <c r="E4" s="1" t="s">
        <v>97</v>
      </c>
      <c r="F4" s="1" t="s">
        <v>98</v>
      </c>
      <c r="G4" s="1"/>
    </row>
    <row r="5" customFormat="false" ht="15" hidden="false" customHeight="false" outlineLevel="0" collapsed="false">
      <c r="A5" s="1" t="s">
        <v>20</v>
      </c>
      <c r="B5" s="1" t="s">
        <v>13</v>
      </c>
      <c r="C5" s="1" t="s">
        <v>21</v>
      </c>
      <c r="D5" s="1"/>
      <c r="E5" s="1" t="s">
        <v>99</v>
      </c>
      <c r="F5" s="1" t="s">
        <v>100</v>
      </c>
      <c r="G5" s="1"/>
    </row>
    <row r="6" customFormat="false" ht="15" hidden="false" customHeight="false" outlineLevel="0" collapsed="false">
      <c r="A6" s="1" t="s">
        <v>101</v>
      </c>
      <c r="B6" s="1" t="s">
        <v>102</v>
      </c>
      <c r="C6" s="1" t="s">
        <v>103</v>
      </c>
      <c r="D6" s="1"/>
      <c r="E6" s="1"/>
      <c r="F6" s="1"/>
      <c r="G6" s="1"/>
    </row>
    <row r="7" customFormat="false" ht="15" hidden="false" customHeight="false" outlineLevel="0" collapsed="false">
      <c r="A7" s="1" t="s">
        <v>104</v>
      </c>
      <c r="B7" s="1" t="s">
        <v>13</v>
      </c>
      <c r="C7" s="1" t="s">
        <v>105</v>
      </c>
      <c r="D7" s="1"/>
      <c r="E7" s="1"/>
      <c r="F7" s="1"/>
      <c r="G7" s="1"/>
    </row>
    <row r="8" customFormat="false" ht="15" hidden="false" customHeight="false" outlineLevel="0" collapsed="false">
      <c r="A8" s="1" t="s">
        <v>106</v>
      </c>
      <c r="B8" s="1" t="s">
        <v>13</v>
      </c>
      <c r="C8" s="1" t="s">
        <v>107</v>
      </c>
      <c r="D8" s="1"/>
      <c r="E8" s="1"/>
      <c r="F8" s="1"/>
      <c r="G8" s="1"/>
    </row>
    <row r="9" customFormat="false" ht="15" hidden="false" customHeight="false" outlineLevel="0" collapsed="false">
      <c r="A9" s="1" t="s">
        <v>22</v>
      </c>
      <c r="B9" s="1" t="s">
        <v>23</v>
      </c>
      <c r="C9" s="1" t="s">
        <v>24</v>
      </c>
      <c r="D9" s="1"/>
      <c r="E9" s="1"/>
      <c r="F9" s="1"/>
      <c r="G9" s="1"/>
    </row>
    <row r="10" customFormat="false" ht="15" hidden="false" customHeight="false" outlineLevel="0" collapsed="false">
      <c r="A10" s="1" t="s">
        <v>26</v>
      </c>
      <c r="B10" s="1" t="s">
        <v>13</v>
      </c>
      <c r="C10" s="1" t="s">
        <v>27</v>
      </c>
      <c r="D10" s="1"/>
      <c r="E10" s="1"/>
      <c r="F10" s="1"/>
      <c r="G10" s="1"/>
    </row>
    <row r="11" customFormat="false" ht="15" hidden="false" customHeight="false" outlineLevel="0" collapsed="false">
      <c r="A11" s="1" t="s">
        <v>108</v>
      </c>
      <c r="B11" s="1" t="s">
        <v>13</v>
      </c>
      <c r="C11" s="1" t="s">
        <v>109</v>
      </c>
      <c r="D11" s="1"/>
      <c r="E11" s="1"/>
      <c r="F11" s="1"/>
      <c r="G11" s="1"/>
    </row>
    <row r="12" customFormat="false" ht="15" hidden="false" customHeight="false" outlineLevel="0" collapsed="false">
      <c r="A12" s="1" t="s">
        <v>110</v>
      </c>
      <c r="B12" s="1" t="s">
        <v>23</v>
      </c>
      <c r="C12" s="1" t="s">
        <v>111</v>
      </c>
      <c r="D12" s="1"/>
      <c r="E12" s="1"/>
      <c r="F12" s="1"/>
      <c r="G12" s="1"/>
    </row>
    <row r="13" customFormat="false" ht="15" hidden="false" customHeight="false" outlineLevel="0" collapsed="false">
      <c r="A13" s="1" t="s">
        <v>112</v>
      </c>
      <c r="B13" s="1" t="s">
        <v>13</v>
      </c>
      <c r="C13" s="1" t="s">
        <v>113</v>
      </c>
      <c r="D13" s="1"/>
      <c r="E13" s="1"/>
      <c r="F13" s="1"/>
      <c r="G13" s="1"/>
    </row>
    <row r="14" customFormat="false" ht="15" hidden="false" customHeight="false" outlineLevel="0" collapsed="false">
      <c r="A14" s="1" t="s">
        <v>114</v>
      </c>
      <c r="B14" s="1" t="s">
        <v>13</v>
      </c>
      <c r="C14" s="1" t="s">
        <v>109</v>
      </c>
      <c r="D14" s="1"/>
      <c r="E14" s="1"/>
      <c r="F14" s="1"/>
      <c r="G14" s="1"/>
    </row>
    <row r="15" customFormat="false" ht="15" hidden="false" customHeight="false" outlineLevel="0" collapsed="false">
      <c r="A15" s="1" t="s">
        <v>115</v>
      </c>
      <c r="B15" s="1" t="s">
        <v>13</v>
      </c>
      <c r="C15" s="1" t="s">
        <v>116</v>
      </c>
      <c r="D15" s="1"/>
      <c r="E15" s="1"/>
      <c r="F15" s="1"/>
      <c r="G15" s="1"/>
    </row>
    <row r="16" customFormat="false" ht="15" hidden="false" customHeight="false" outlineLevel="0" collapsed="false">
      <c r="A16" s="1" t="s">
        <v>117</v>
      </c>
      <c r="B16" s="1" t="s">
        <v>13</v>
      </c>
      <c r="C16" s="1" t="s">
        <v>118</v>
      </c>
      <c r="D16" s="1"/>
      <c r="E16" s="1"/>
      <c r="F16" s="1"/>
      <c r="G16" s="1"/>
    </row>
    <row r="17" customFormat="false" ht="15" hidden="false" customHeight="false" outlineLevel="0" collapsed="false">
      <c r="A17" s="1" t="s">
        <v>119</v>
      </c>
      <c r="B17" s="1" t="s">
        <v>13</v>
      </c>
      <c r="C17" s="1" t="s">
        <v>120</v>
      </c>
      <c r="D17" s="1"/>
      <c r="E17" s="1"/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 t="s">
        <v>121</v>
      </c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5" hidden="false" customHeight="false" outlineLevel="0" collapsed="false">
      <c r="A21" s="1" t="s">
        <v>122</v>
      </c>
      <c r="B21" s="1"/>
      <c r="C21" s="1"/>
      <c r="D21" s="1"/>
      <c r="E21" s="1"/>
      <c r="F21" s="1"/>
      <c r="G21" s="1"/>
    </row>
    <row r="22" customFormat="false" ht="280.55" hidden="false" customHeight="false" outlineLevel="0" collapsed="false">
      <c r="A22" s="4" t="s">
        <v>123</v>
      </c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 t="s">
        <v>124</v>
      </c>
      <c r="B23" s="1"/>
      <c r="C23" s="1"/>
      <c r="D23" s="1"/>
      <c r="E23" s="1"/>
      <c r="F23" s="1"/>
      <c r="G23" s="1"/>
    </row>
    <row r="24" customFormat="false" ht="15.75" hidden="false" customHeight="false" outlineLevel="0" collapsed="false">
      <c r="A24" s="5" t="s">
        <v>125</v>
      </c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 t="s">
        <v>126</v>
      </c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 t="s">
        <v>127</v>
      </c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 t="s">
        <v>128</v>
      </c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 t="s">
        <v>129</v>
      </c>
      <c r="B28" s="1"/>
      <c r="C28" s="1"/>
      <c r="D28" s="1"/>
      <c r="E28" s="1"/>
      <c r="F28" s="1"/>
      <c r="G28" s="1"/>
    </row>
    <row r="30" customFormat="false" ht="15" hidden="false" customHeight="false" outlineLevel="0" collapsed="false">
      <c r="A30" s="0" t="s">
        <v>130</v>
      </c>
    </row>
    <row r="31" customFormat="false" ht="15" hidden="false" customHeight="false" outlineLevel="0" collapsed="false">
      <c r="A31" s="0" t="s">
        <v>131</v>
      </c>
    </row>
    <row r="32" customFormat="false" ht="15" hidden="false" customHeight="false" outlineLevel="0" collapsed="false">
      <c r="A32" s="0" t="s">
        <v>132</v>
      </c>
    </row>
    <row r="33" customFormat="false" ht="15" hidden="false" customHeight="false" outlineLevel="0" collapsed="false">
      <c r="A33" s="0" t="s">
        <v>133</v>
      </c>
    </row>
    <row r="34" customFormat="false" ht="15" hidden="false" customHeight="false" outlineLevel="0" collapsed="false">
      <c r="A34" s="0" t="s">
        <v>134</v>
      </c>
    </row>
    <row r="35" customFormat="false" ht="15" hidden="false" customHeight="false" outlineLevel="0" collapsed="false">
      <c r="A35" s="0" t="s">
        <v>135</v>
      </c>
    </row>
    <row r="37" customFormat="false" ht="15" hidden="false" customHeight="false" outlineLevel="0" collapsed="false">
      <c r="A37" s="0" t="s">
        <v>136</v>
      </c>
    </row>
    <row r="38" customFormat="false" ht="13.8" hidden="false" customHeight="false" outlineLevel="0" collapsed="false">
      <c r="A38" s="0" t="s">
        <v>137</v>
      </c>
    </row>
    <row r="39" customFormat="false" ht="13.8" hidden="false" customHeight="false" outlineLevel="0" collapsed="false">
      <c r="A39" s="0" t="s">
        <v>138</v>
      </c>
    </row>
    <row r="40" customFormat="false" ht="13.8" hidden="false" customHeight="false" outlineLevel="0" collapsed="false">
      <c r="A40" s="0" t="s">
        <v>139</v>
      </c>
    </row>
    <row r="41" customFormat="false" ht="13.8" hidden="false" customHeight="false" outlineLevel="0" collapsed="false">
      <c r="A41" s="6" t="s">
        <v>140</v>
      </c>
    </row>
    <row r="42" customFormat="false" ht="13.8" hidden="false" customHeight="false" outlineLevel="0" collapsed="false">
      <c r="A42" s="0" t="s">
        <v>141</v>
      </c>
    </row>
    <row r="43" customFormat="false" ht="13.8" hidden="false" customHeight="false" outlineLevel="0" collapsed="false">
      <c r="A43" s="0" t="s">
        <v>142</v>
      </c>
    </row>
    <row r="44" customFormat="false" ht="13.8" hidden="false" customHeight="false" outlineLevel="0" collapsed="false">
      <c r="A44" s="0" t="s">
        <v>143</v>
      </c>
    </row>
    <row r="45" customFormat="false" ht="13.8" hidden="false" customHeight="false" outlineLevel="0" collapsed="false">
      <c r="A45" s="0" t="s">
        <v>144</v>
      </c>
    </row>
    <row r="46" customFormat="false" ht="13.8" hidden="false" customHeight="false" outlineLevel="0" collapsed="false">
      <c r="A46" s="0" t="s">
        <v>145</v>
      </c>
    </row>
    <row r="47" customFormat="false" ht="13.8" hidden="false" customHeight="false" outlineLevel="0" collapsed="false">
      <c r="A47" s="0" t="s">
        <v>146</v>
      </c>
    </row>
    <row r="48" customFormat="false" ht="13.8" hidden="false" customHeight="false" outlineLevel="0" collapsed="false">
      <c r="A48" s="0" t="s">
        <v>147</v>
      </c>
    </row>
    <row r="49" customFormat="false" ht="13.8" hidden="false" customHeight="false" outlineLevel="0" collapsed="false">
      <c r="A49" s="0" t="s">
        <v>148</v>
      </c>
    </row>
    <row r="50" customFormat="false" ht="13.8" hidden="false" customHeight="false" outlineLevel="0" collapsed="false">
      <c r="A50" s="0" t="s">
        <v>149</v>
      </c>
    </row>
    <row r="51" customFormat="false" ht="13.8" hidden="false" customHeight="false" outlineLevel="0" collapsed="false">
      <c r="A51" s="0" t="s">
        <v>150</v>
      </c>
    </row>
    <row r="52" customFormat="false" ht="13.8" hidden="false" customHeight="false" outlineLevel="0" collapsed="false">
      <c r="A52" s="0" t="s">
        <v>151</v>
      </c>
    </row>
    <row r="53" customFormat="false" ht="13.8" hidden="false" customHeight="false" outlineLevel="0" collapsed="false">
      <c r="A53" s="0" t="s">
        <v>152</v>
      </c>
    </row>
    <row r="54" customFormat="false" ht="13.8" hidden="false" customHeight="false" outlineLevel="0" collapsed="false">
      <c r="A54" s="0" t="s">
        <v>153</v>
      </c>
    </row>
    <row r="55" customFormat="false" ht="13.8" hidden="false" customHeight="false" outlineLevel="0" collapsed="false">
      <c r="A55" s="0" t="s">
        <v>154</v>
      </c>
    </row>
    <row r="56" customFormat="false" ht="13.8" hidden="false" customHeight="false" outlineLevel="0" collapsed="false">
      <c r="A56" s="0" t="s">
        <v>155</v>
      </c>
    </row>
    <row r="57" customFormat="false" ht="13.8" hidden="false" customHeight="false" outlineLevel="0" collapsed="false">
      <c r="A57" s="0" t="s">
        <v>156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RowHeight="15"/>
  <cols>
    <col collapsed="false" hidden="false" max="1" min="1" style="0" width="18.7085020242915"/>
    <col collapsed="false" hidden="false" max="2" min="2" style="0" width="11.8542510121458"/>
    <col collapsed="false" hidden="false" max="3" min="3" style="0" width="10.7125506072875"/>
    <col collapsed="false" hidden="false" max="10" min="4" style="0" width="9.1417004048583"/>
    <col collapsed="false" hidden="false" max="11" min="11" style="0" width="10.7125506072875"/>
    <col collapsed="false" hidden="false" max="12" min="12" style="0" width="9.1417004048583"/>
    <col collapsed="false" hidden="false" max="13" min="13" style="0" width="10.7125506072875"/>
    <col collapsed="false" hidden="false" max="1025" min="14" style="0" width="9.1417004048583"/>
  </cols>
  <sheetData>
    <row r="1" customFormat="false" ht="1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0" t="s">
        <v>91</v>
      </c>
      <c r="B2" s="0" t="s">
        <v>15</v>
      </c>
      <c r="C2" s="0" t="s">
        <v>158</v>
      </c>
      <c r="D2" s="0" t="s">
        <v>159</v>
      </c>
      <c r="I2" s="6" t="s">
        <v>160</v>
      </c>
      <c r="J2" s="6" t="s">
        <v>161</v>
      </c>
      <c r="K2" s="7" t="n">
        <v>43070</v>
      </c>
      <c r="L2" s="6" t="s">
        <v>162</v>
      </c>
      <c r="M2" s="8" t="n">
        <v>43089</v>
      </c>
      <c r="N2" s="6" t="s">
        <v>159</v>
      </c>
      <c r="O2" s="7" t="s">
        <v>163</v>
      </c>
    </row>
    <row r="3" customFormat="false" ht="15" hidden="false" customHeight="false" outlineLevel="0" collapsed="false">
      <c r="A3" s="0" t="n">
        <v>260</v>
      </c>
      <c r="B3" s="8" t="n">
        <f aca="true">NOW()</f>
        <v>43113.7936127426</v>
      </c>
      <c r="C3" s="0" t="n">
        <v>213454</v>
      </c>
      <c r="D3" s="0" t="s">
        <v>164</v>
      </c>
      <c r="I3" s="0" t="n">
        <v>261</v>
      </c>
    </row>
    <row r="4" customFormat="false" ht="15" hidden="false" customHeight="false" outlineLevel="0" collapsed="false">
      <c r="A4" s="0" t="n">
        <v>260</v>
      </c>
      <c r="B4" s="8" t="n">
        <f aca="true">NOW()</f>
        <v>43113.7936127452</v>
      </c>
      <c r="C4" s="0" t="n">
        <v>321344</v>
      </c>
      <c r="D4" s="0" t="s">
        <v>165</v>
      </c>
      <c r="I4" s="0" t="n">
        <v>262</v>
      </c>
    </row>
    <row r="5" customFormat="false" ht="15" hidden="false" customHeight="false" outlineLevel="0" collapsed="false">
      <c r="A5" s="0" t="n">
        <v>260</v>
      </c>
      <c r="B5" s="8" t="n">
        <f aca="true">NOW()</f>
        <v>43113.7936127461</v>
      </c>
      <c r="C5" s="6" t="s">
        <v>166</v>
      </c>
      <c r="D5" s="0" t="s">
        <v>167</v>
      </c>
      <c r="I5" s="0" t="n">
        <v>263</v>
      </c>
    </row>
    <row r="6" customFormat="false" ht="15" hidden="false" customHeight="false" outlineLevel="0" collapsed="false">
      <c r="A6" s="0" t="n">
        <v>260</v>
      </c>
      <c r="B6" s="8" t="n">
        <f aca="true">NOW()</f>
        <v>43113.7936127469</v>
      </c>
      <c r="C6" s="0" t="n">
        <v>2132</v>
      </c>
      <c r="D6" s="0" t="s">
        <v>168</v>
      </c>
      <c r="I6" s="0" t="n">
        <v>264</v>
      </c>
    </row>
    <row r="7" customFormat="false" ht="15" hidden="false" customHeight="false" outlineLevel="0" collapsed="false">
      <c r="A7" s="0" t="n">
        <v>260</v>
      </c>
      <c r="B7" s="8" t="n">
        <f aca="true">NOW()</f>
        <v>43113.7936127476</v>
      </c>
      <c r="C7" s="6" t="s">
        <v>169</v>
      </c>
      <c r="D7" s="0" t="s">
        <v>170</v>
      </c>
      <c r="I7" s="0" t="n">
        <v>265</v>
      </c>
    </row>
    <row r="9" customFormat="false" ht="15" hidden="false" customHeight="false" outlineLevel="0" collapsed="false">
      <c r="I9" s="6" t="s">
        <v>171</v>
      </c>
    </row>
    <row r="10" customFormat="false" ht="15" hidden="false" customHeight="false" outlineLevel="0" collapsed="false">
      <c r="A10" s="6" t="s">
        <v>172</v>
      </c>
      <c r="B10" s="6" t="s">
        <v>173</v>
      </c>
    </row>
    <row r="11" customFormat="false" ht="15" hidden="false" customHeight="false" outlineLevel="0" collapsed="false">
      <c r="A11" s="6" t="s">
        <v>91</v>
      </c>
      <c r="B11" s="6" t="s">
        <v>174</v>
      </c>
      <c r="I11" s="6" t="s">
        <v>175</v>
      </c>
    </row>
    <row r="12" customFormat="false" ht="15" hidden="false" customHeight="false" outlineLevel="0" collapsed="false">
      <c r="A12" s="6" t="s">
        <v>15</v>
      </c>
      <c r="B12" s="6" t="s">
        <v>176</v>
      </c>
      <c r="I12" s="6" t="s">
        <v>177</v>
      </c>
    </row>
    <row r="13" customFormat="false" ht="15" hidden="false" customHeight="false" outlineLevel="0" collapsed="false">
      <c r="A13" s="6" t="s">
        <v>158</v>
      </c>
      <c r="B13" s="6" t="s">
        <v>178</v>
      </c>
    </row>
    <row r="14" customFormat="false" ht="15" hidden="false" customHeight="false" outlineLevel="0" collapsed="false">
      <c r="A14" s="6" t="s">
        <v>159</v>
      </c>
      <c r="B14" s="6" t="s">
        <v>179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LibreOffice/4.4.3.2$Linux_x86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2017-11-25T16:02:22Z</dcterms:created>
  <dc:creator>USER</dc:creator>
  <dc:language>es-CO</dc:language>
  <cp:lastModifiedBy>Wilmer Silva</cp:lastModifiedBy>
  <dcterms:modified xsi:type="dcterms:W3CDTF">2018-01-13T19:02:47Z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